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f745f85650ce8b/Desktop/"/>
    </mc:Choice>
  </mc:AlternateContent>
  <xr:revisionPtr revIDLastSave="1" documentId="8_{564D327B-8C46-43C4-B209-9D400ABD7C28}" xr6:coauthVersionLast="47" xr6:coauthVersionMax="47" xr10:uidLastSave="{C47ACC2C-9D8B-453F-A718-DF8BE02187ED}"/>
  <bookViews>
    <workbookView xWindow="-108" yWindow="-108" windowWidth="23256" windowHeight="14616" xr2:uid="{03FC8525-59AC-4007-AE03-758278ABBAB9}"/>
  </bookViews>
  <sheets>
    <sheet name="Caso aplicad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5" i="1" s="1"/>
  <c r="N25" i="1" s="1"/>
  <c r="D24" i="1"/>
  <c r="F24" i="1"/>
  <c r="F27" i="1" s="1"/>
</calcChain>
</file>

<file path=xl/sharedStrings.xml><?xml version="1.0" encoding="utf-8"?>
<sst xmlns="http://schemas.openxmlformats.org/spreadsheetml/2006/main" count="114" uniqueCount="101">
  <si>
    <t>1. Analisis de items</t>
  </si>
  <si>
    <t>Estudios</t>
  </si>
  <si>
    <t>Topografia</t>
  </si>
  <si>
    <t>Medidas, Analisis de desniveles</t>
  </si>
  <si>
    <t>Caracterizacion de suelos</t>
  </si>
  <si>
    <t>Excavacion, Transporte, Analisis</t>
  </si>
  <si>
    <t>Estudios hidrologicos</t>
  </si>
  <si>
    <t>Exploracion, Clasificacion</t>
  </si>
  <si>
    <t>Verificacion de interferencias</t>
  </si>
  <si>
    <t>Documentacion catastral, Estudios de fauna y flora, Contacto con la poblacion</t>
  </si>
  <si>
    <t>Construccion</t>
  </si>
  <si>
    <t>Preparacion</t>
  </si>
  <si>
    <t>Trazo, Nivelacion, Limpieza</t>
  </si>
  <si>
    <t>Movimiento de tierras</t>
  </si>
  <si>
    <t>Corte, Rellleno, Compactacion</t>
  </si>
  <si>
    <t>Construccion de la base granular</t>
  </si>
  <si>
    <t>Transporte, Deposicion, Nivelacion</t>
  </si>
  <si>
    <t>Drenajes laterales</t>
  </si>
  <si>
    <t>Transporte, Excavacion, Deposicion del hormigon</t>
  </si>
  <si>
    <t>Tubos de alcantarilla de PVC</t>
  </si>
  <si>
    <t>Transporte, Excavacion, Plomeria, Relleno</t>
  </si>
  <si>
    <t>Retiro de escombros</t>
  </si>
  <si>
    <t>Recogida y Transporte</t>
  </si>
  <si>
    <t>Señalizacion</t>
  </si>
  <si>
    <t>Transporte, Pintado, Colocacion</t>
  </si>
  <si>
    <t>2. Estimacion de cantidad por actividad</t>
  </si>
  <si>
    <t>14000 m^2</t>
  </si>
  <si>
    <t>Caracterizacion</t>
  </si>
  <si>
    <t>Estudio Hidrologico</t>
  </si>
  <si>
    <t>Alrededores</t>
  </si>
  <si>
    <t>Interferencias</t>
  </si>
  <si>
    <t>2800 m^3</t>
  </si>
  <si>
    <t>Corte/Relleno</t>
  </si>
  <si>
    <t>Compactacion</t>
  </si>
  <si>
    <t>Base granular</t>
  </si>
  <si>
    <t xml:space="preserve">Cunetas </t>
  </si>
  <si>
    <t>≈ 1400 m^3</t>
  </si>
  <si>
    <t>Alcantarillado</t>
  </si>
  <si>
    <t>Sondeo cada 500 m</t>
  </si>
  <si>
    <t>Ítem / Actividad</t>
  </si>
  <si>
    <t>Unidad de Medida</t>
  </si>
  <si>
    <t>Cantidad Estimada</t>
  </si>
  <si>
    <t>Precio Unitario Referencial (COP)</t>
  </si>
  <si>
    <t>Costo Total por Ítem (COP)</t>
  </si>
  <si>
    <t>Unidad</t>
  </si>
  <si>
    <t>Metro lineal (ml)</t>
  </si>
  <si>
    <t>TOTAL COSTOS DIRECTOS ESTIMADOS</t>
  </si>
  <si>
    <t>Topografía (Medición y desniveles)</t>
  </si>
  <si>
    <t>Caracterización de suelos (Sondeos/Apiques)</t>
  </si>
  <si>
    <t>Preparación y limpieza (Trazo, nivelación y descapote)</t>
  </si>
  <si>
    <t>Base granular (Suministro, transporte, extendido y compactación)</t>
  </si>
  <si>
    <t>Alcantarillado (Tubo PVC 24" incl. excavación y relleno)</t>
  </si>
  <si>
    <t>Drenajes laterales / Cunetas (En concreto simple)</t>
  </si>
  <si>
    <t>Señalización vertical (Pintura reflectiva y lámina)</t>
  </si>
  <si>
    <t>Señalización horizontal (Resaltos en zonas escolares)</t>
  </si>
  <si>
    <t>3. precios por unidad</t>
  </si>
  <si>
    <t>m^2</t>
  </si>
  <si>
    <t>m^3</t>
  </si>
  <si>
    <t>Ítem</t>
  </si>
  <si>
    <t>Descripción de la Actividad / Costo</t>
  </si>
  <si>
    <t>Costo Total (COP)</t>
  </si>
  <si>
    <t>Topografía y desniveles</t>
  </si>
  <si>
    <t>Caracterización de suelos</t>
  </si>
  <si>
    <t>Preparación, nivelación y descapote</t>
  </si>
  <si>
    <t>Construcción de base granular</t>
  </si>
  <si>
    <t>Alcantarillado (Tubos PVC)</t>
  </si>
  <si>
    <t>Drenajes laterales (Cunetas)</t>
  </si>
  <si>
    <t>SUBTOTAL COSTOS INDIRECTOS (25%)</t>
  </si>
  <si>
    <t>IMPUESTOS</t>
  </si>
  <si>
    <t>Señalización</t>
  </si>
  <si>
    <t>1021.52 m^3 (7 en total)</t>
  </si>
  <si>
    <t>COSTOS DIRECTOS</t>
  </si>
  <si>
    <t xml:space="preserve">SUBTOTAL COSTOS DIRECTOS </t>
  </si>
  <si>
    <t>COSTOS INDIRECTOS</t>
  </si>
  <si>
    <t>IVA sobre la utilidad</t>
  </si>
  <si>
    <t>TOTAL DEL PRESUPUESTO</t>
  </si>
  <si>
    <t>4. Tablas de presupuestos aprox</t>
  </si>
  <si>
    <t>Administración</t>
  </si>
  <si>
    <t>Imprevistos</t>
  </si>
  <si>
    <t>Utilidad del contratista</t>
  </si>
  <si>
    <t>Financiero</t>
  </si>
  <si>
    <t>Instituto Nacional de Vías [INVIAS]. (2024). Sistema de Información de Precios de Materiales, Equipo y Mano de Obra (SIPROM) para proyectos de infraestructura vial. Ministerio de Transporte, República de Colombia. Recuperado de la base de datos oficial de INVIAS.</t>
  </si>
  <si>
    <t>Instituto de Infraestructura y Concesiones de Cundinamarca [ICCU]. (2024). Lista de Precios Unitarios para Obras de Infraestructura de Transporte y Espacio Público. Gobernación de Cundinamarca.</t>
  </si>
  <si>
    <r>
      <t xml:space="preserve">Gobernación de Antioquia / SIPUC. (2024). </t>
    </r>
    <r>
      <rPr>
        <i/>
        <sz val="11"/>
        <color theme="1"/>
        <rFont val="Calibri"/>
        <family val="2"/>
        <scheme val="minor"/>
      </rPr>
      <t>Sistema de Información de Precios Unitarios de Construcción (SIPUC)</t>
    </r>
    <r>
      <rPr>
        <sz val="11"/>
        <color theme="1"/>
        <rFont val="Calibri"/>
        <family val="2"/>
        <scheme val="minor"/>
      </rPr>
      <t>. Secretaría de Infraestructura Física.</t>
    </r>
  </si>
  <si>
    <t>presupuesto de carácter referencial e hipotético datos  del año 2024-2025</t>
  </si>
  <si>
    <t>Poco probable</t>
  </si>
  <si>
    <t>Probable</t>
  </si>
  <si>
    <t xml:space="preserve"> Ocasional</t>
  </si>
  <si>
    <t>Moderado</t>
  </si>
  <si>
    <t>Constante</t>
  </si>
  <si>
    <t>Insignificante</t>
  </si>
  <si>
    <t>menor</t>
  </si>
  <si>
    <t>mayor</t>
  </si>
  <si>
    <t>critico</t>
  </si>
  <si>
    <t>catastrofico</t>
  </si>
  <si>
    <t>Climatico</t>
  </si>
  <si>
    <r>
      <rPr>
        <sz val="11"/>
        <color theme="0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 xml:space="preserve">                         Probabilidad Impacto</t>
    </r>
  </si>
  <si>
    <t>Dificil Acceso</t>
  </si>
  <si>
    <t>Problemas geotecnicos</t>
  </si>
  <si>
    <t>Social e interferencias</t>
  </si>
  <si>
    <t>5. posibles riesgos o incertidumbres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</si>
</sst>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EE9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6" fontId="0" fillId="0" borderId="4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6" fontId="0" fillId="0" borderId="6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6" fontId="0" fillId="0" borderId="10" xfId="0" applyNumberFormat="1" applyBorder="1" applyAlignment="1">
      <alignment horizontal="center" vertical="center" wrapText="1"/>
    </xf>
    <xf numFmtId="6" fontId="0" fillId="0" borderId="12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6" fontId="0" fillId="0" borderId="22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3" fillId="0" borderId="16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6" fontId="2" fillId="0" borderId="16" xfId="0" applyNumberFormat="1" applyFont="1" applyBorder="1" applyAlignment="1">
      <alignment horizontal="center" vertical="center" wrapText="1" readingOrder="1"/>
    </xf>
    <xf numFmtId="6" fontId="3" fillId="0" borderId="16" xfId="0" applyNumberFormat="1" applyFont="1" applyBorder="1" applyAlignment="1">
      <alignment horizontal="center" vertical="center" wrapText="1" readingOrder="1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readingOrder="1"/>
    </xf>
    <xf numFmtId="6" fontId="2" fillId="0" borderId="24" xfId="0" applyNumberFormat="1" applyFont="1" applyBorder="1" applyAlignment="1">
      <alignment horizontal="center" vertical="center" wrapText="1" readingOrder="1"/>
    </xf>
    <xf numFmtId="6" fontId="3" fillId="0" borderId="3" xfId="0" applyNumberFormat="1" applyFont="1" applyBorder="1" applyAlignment="1">
      <alignment horizontal="center" vertical="center" wrapText="1" readingOrder="1"/>
    </xf>
    <xf numFmtId="6" fontId="3" fillId="0" borderId="27" xfId="0" applyNumberFormat="1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1"/>
    </xf>
    <xf numFmtId="6" fontId="2" fillId="0" borderId="27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28" xfId="0" applyFont="1" applyBorder="1" applyAlignment="1">
      <alignment horizontal="center" vertical="center" wrapText="1" readingOrder="1"/>
    </xf>
    <xf numFmtId="0" fontId="3" fillId="0" borderId="29" xfId="0" applyFont="1" applyBorder="1" applyAlignment="1">
      <alignment horizontal="center" vertical="center" wrapText="1" readingOrder="1"/>
    </xf>
    <xf numFmtId="0" fontId="3" fillId="0" borderId="30" xfId="0" applyFont="1" applyBorder="1" applyAlignment="1">
      <alignment horizontal="center" vertical="center" wrapText="1" readingOrder="1"/>
    </xf>
    <xf numFmtId="0" fontId="3" fillId="0" borderId="31" xfId="0" applyFont="1" applyBorder="1" applyAlignment="1">
      <alignment horizontal="center" vertical="center" wrapText="1" readingOrder="1"/>
    </xf>
    <xf numFmtId="0" fontId="3" fillId="0" borderId="32" xfId="0" applyFont="1" applyBorder="1" applyAlignment="1">
      <alignment horizontal="center" vertical="center" wrapText="1" readingOrder="1"/>
    </xf>
    <xf numFmtId="0" fontId="3" fillId="0" borderId="33" xfId="0" applyFont="1" applyBorder="1" applyAlignment="1">
      <alignment horizontal="center" vertical="center" wrapText="1" readingOrder="1"/>
    </xf>
    <xf numFmtId="0" fontId="3" fillId="0" borderId="34" xfId="0" applyFont="1" applyBorder="1" applyAlignment="1">
      <alignment horizontal="center" vertical="center" wrapText="1" readingOrder="1"/>
    </xf>
    <xf numFmtId="6" fontId="0" fillId="0" borderId="35" xfId="0" applyNumberFormat="1" applyBorder="1" applyAlignment="1">
      <alignment horizontal="center" vertical="center" wrapText="1"/>
    </xf>
    <xf numFmtId="6" fontId="0" fillId="0" borderId="17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textRotation="135" wrapText="1"/>
    </xf>
    <xf numFmtId="0" fontId="0" fillId="5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0" fillId="6" borderId="4" xfId="0" applyFill="1" applyBorder="1"/>
    <xf numFmtId="0" fontId="0" fillId="4" borderId="4" xfId="0" applyFill="1" applyBorder="1"/>
    <xf numFmtId="0" fontId="0" fillId="2" borderId="9" xfId="0" applyFill="1" applyBorder="1"/>
    <xf numFmtId="0" fontId="0" fillId="7" borderId="6" xfId="0" applyFill="1" applyBorder="1"/>
    <xf numFmtId="0" fontId="0" fillId="8" borderId="41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12" xfId="0" applyFill="1" applyBorder="1"/>
    <xf numFmtId="0" fontId="0" fillId="4" borderId="8" xfId="0" applyFill="1" applyBorder="1" applyAlignment="1">
      <alignment horizontal="center" vertical="center" wrapText="1"/>
    </xf>
    <xf numFmtId="0" fontId="0" fillId="4" borderId="6" xfId="0" applyFill="1" applyBorder="1"/>
    <xf numFmtId="0" fontId="0" fillId="9" borderId="41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10" xfId="0" applyFill="1" applyBorder="1"/>
    <xf numFmtId="0" fontId="0" fillId="7" borderId="8" xfId="0" applyFill="1" applyBorder="1"/>
    <xf numFmtId="0" fontId="0" fillId="10" borderId="8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4" xfId="0" applyFill="1" applyBorder="1"/>
    <xf numFmtId="0" fontId="0" fillId="1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99"/>
      <color rgb="FFFFCC99"/>
      <color rgb="FFFF5050"/>
      <color rgb="FFCCFF33"/>
      <color rgb="FF669900"/>
      <color rgb="FFFFCC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0</xdr:colOff>
      <xdr:row>2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C0103E-FA3C-F41F-F2E1-1130A27A4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1280" y="381000"/>
          <a:ext cx="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7291-A93B-4FDE-A583-7FBF18910785}">
  <dimension ref="B1:N41"/>
  <sheetViews>
    <sheetView tabSelected="1" topLeftCell="A7" zoomScale="57" workbookViewId="0">
      <selection activeCell="J39" sqref="J39"/>
    </sheetView>
  </sheetViews>
  <sheetFormatPr baseColWidth="10" defaultRowHeight="14.4" x14ac:dyDescent="0.3"/>
  <cols>
    <col min="2" max="2" width="25.33203125" style="6" customWidth="1"/>
    <col min="3" max="3" width="15.5546875" style="6" customWidth="1"/>
    <col min="4" max="4" width="13.109375" style="6" customWidth="1"/>
    <col min="5" max="5" width="16.33203125" style="6" customWidth="1"/>
    <col min="6" max="6" width="15" style="6" customWidth="1"/>
    <col min="7" max="7" width="11.5546875" style="6"/>
    <col min="8" max="8" width="24.5546875" style="6" customWidth="1"/>
    <col min="9" max="9" width="22.6640625" style="6" customWidth="1"/>
    <col min="10" max="10" width="21.5546875" style="6" customWidth="1"/>
    <col min="11" max="11" width="11.5546875" style="6"/>
    <col min="13" max="13" width="22.5546875" customWidth="1"/>
    <col min="14" max="14" width="16.77734375" customWidth="1"/>
  </cols>
  <sheetData>
    <row r="1" spans="2:14" ht="15" customHeight="1" thickBot="1" x14ac:dyDescent="0.35">
      <c r="B1" s="35" t="s">
        <v>0</v>
      </c>
      <c r="C1" s="35"/>
      <c r="D1" s="35"/>
      <c r="E1" s="35"/>
      <c r="H1" s="34" t="s">
        <v>25</v>
      </c>
      <c r="I1" s="34"/>
    </row>
    <row r="2" spans="2:14" ht="15" thickBot="1" x14ac:dyDescent="0.35">
      <c r="B2" s="7" t="s">
        <v>1</v>
      </c>
      <c r="C2" s="8"/>
      <c r="D2" s="8"/>
      <c r="E2" s="9"/>
      <c r="H2" s="23" t="s">
        <v>2</v>
      </c>
      <c r="I2" s="24" t="s">
        <v>26</v>
      </c>
    </row>
    <row r="3" spans="2:14" x14ac:dyDescent="0.3">
      <c r="B3" s="10" t="s">
        <v>2</v>
      </c>
      <c r="C3" s="11" t="s">
        <v>3</v>
      </c>
      <c r="D3" s="11"/>
      <c r="E3" s="11"/>
      <c r="H3" s="3" t="s">
        <v>27</v>
      </c>
      <c r="I3" s="5" t="s">
        <v>38</v>
      </c>
    </row>
    <row r="4" spans="2:14" x14ac:dyDescent="0.3">
      <c r="B4" s="2" t="s">
        <v>4</v>
      </c>
      <c r="C4" s="4" t="s">
        <v>5</v>
      </c>
      <c r="D4" s="4"/>
      <c r="E4" s="4"/>
      <c r="H4" s="3" t="s">
        <v>28</v>
      </c>
      <c r="I4" s="41" t="s">
        <v>29</v>
      </c>
    </row>
    <row r="5" spans="2:14" x14ac:dyDescent="0.3">
      <c r="B5" s="2" t="s">
        <v>6</v>
      </c>
      <c r="C5" s="4" t="s">
        <v>7</v>
      </c>
      <c r="D5" s="4"/>
      <c r="E5" s="4"/>
      <c r="H5" s="3" t="s">
        <v>30</v>
      </c>
      <c r="I5" s="41" t="s">
        <v>29</v>
      </c>
    </row>
    <row r="6" spans="2:14" ht="27.6" customHeight="1" x14ac:dyDescent="0.3">
      <c r="B6" s="2" t="s">
        <v>8</v>
      </c>
      <c r="C6" s="4" t="s">
        <v>9</v>
      </c>
      <c r="D6" s="4"/>
      <c r="E6" s="4"/>
      <c r="H6" s="3" t="s">
        <v>11</v>
      </c>
      <c r="I6" s="41" t="s">
        <v>26</v>
      </c>
    </row>
    <row r="7" spans="2:14" ht="15" thickBot="1" x14ac:dyDescent="0.35">
      <c r="H7" s="3" t="s">
        <v>32</v>
      </c>
      <c r="I7" s="41" t="s">
        <v>31</v>
      </c>
    </row>
    <row r="8" spans="2:14" ht="15" thickBot="1" x14ac:dyDescent="0.35">
      <c r="B8" s="12" t="s">
        <v>10</v>
      </c>
      <c r="C8" s="13"/>
      <c r="D8" s="13"/>
      <c r="E8" s="14"/>
      <c r="H8" s="3" t="s">
        <v>33</v>
      </c>
      <c r="I8" s="41" t="s">
        <v>26</v>
      </c>
    </row>
    <row r="9" spans="2:14" x14ac:dyDescent="0.3">
      <c r="B9" s="15" t="s">
        <v>11</v>
      </c>
      <c r="C9" s="11" t="s">
        <v>12</v>
      </c>
      <c r="D9" s="11"/>
      <c r="E9" s="16"/>
      <c r="H9" s="3" t="s">
        <v>34</v>
      </c>
      <c r="I9" s="41" t="s">
        <v>31</v>
      </c>
    </row>
    <row r="10" spans="2:14" ht="25.8" customHeight="1" x14ac:dyDescent="0.3">
      <c r="B10" s="3" t="s">
        <v>13</v>
      </c>
      <c r="C10" s="4" t="s">
        <v>14</v>
      </c>
      <c r="D10" s="4"/>
      <c r="E10" s="17"/>
      <c r="H10" s="3" t="s">
        <v>35</v>
      </c>
      <c r="I10" s="41" t="s">
        <v>36</v>
      </c>
    </row>
    <row r="11" spans="2:14" ht="28.8" x14ac:dyDescent="0.3">
      <c r="B11" s="3" t="s">
        <v>15</v>
      </c>
      <c r="C11" s="4" t="s">
        <v>16</v>
      </c>
      <c r="D11" s="4"/>
      <c r="E11" s="17"/>
      <c r="H11" s="3" t="s">
        <v>37</v>
      </c>
      <c r="I11" s="41" t="s">
        <v>70</v>
      </c>
    </row>
    <row r="12" spans="2:14" ht="28.8" x14ac:dyDescent="0.3">
      <c r="B12" s="3" t="s">
        <v>17</v>
      </c>
      <c r="C12" s="4" t="s">
        <v>18</v>
      </c>
      <c r="D12" s="4"/>
      <c r="E12" s="17"/>
      <c r="H12" s="3" t="s">
        <v>21</v>
      </c>
      <c r="I12" s="41" t="s">
        <v>26</v>
      </c>
    </row>
    <row r="13" spans="2:14" ht="15" thickBot="1" x14ac:dyDescent="0.35">
      <c r="B13" s="3" t="s">
        <v>19</v>
      </c>
      <c r="C13" s="4" t="s">
        <v>20</v>
      </c>
      <c r="D13" s="4"/>
      <c r="E13" s="17"/>
      <c r="H13" s="18" t="s">
        <v>23</v>
      </c>
      <c r="I13" s="42"/>
    </row>
    <row r="14" spans="2:14" x14ac:dyDescent="0.3">
      <c r="B14" s="3" t="s">
        <v>21</v>
      </c>
      <c r="C14" s="4" t="s">
        <v>22</v>
      </c>
      <c r="D14" s="4"/>
      <c r="E14" s="17"/>
    </row>
    <row r="15" spans="2:14" ht="15" customHeight="1" thickBot="1" x14ac:dyDescent="0.35">
      <c r="B15" s="18" t="s">
        <v>23</v>
      </c>
      <c r="C15" s="19" t="s">
        <v>24</v>
      </c>
      <c r="D15" s="19"/>
      <c r="E15" s="20"/>
      <c r="H15" s="33" t="s">
        <v>76</v>
      </c>
      <c r="I15" s="33"/>
      <c r="J15" s="33"/>
      <c r="K15" s="33"/>
      <c r="L15" s="33"/>
      <c r="M15" s="33"/>
      <c r="N15" s="33"/>
    </row>
    <row r="16" spans="2:14" ht="42" customHeight="1" thickBot="1" x14ac:dyDescent="0.35">
      <c r="H16" s="36" t="s">
        <v>58</v>
      </c>
      <c r="I16" s="36" t="s">
        <v>59</v>
      </c>
      <c r="J16" s="36" t="s">
        <v>60</v>
      </c>
      <c r="L16" s="57" t="s">
        <v>73</v>
      </c>
      <c r="M16" s="59"/>
      <c r="N16" s="58"/>
    </row>
    <row r="17" spans="2:14" ht="15" thickBot="1" x14ac:dyDescent="0.35">
      <c r="B17" s="40" t="s">
        <v>55</v>
      </c>
      <c r="C17" s="40"/>
      <c r="D17" s="40"/>
      <c r="E17" s="40"/>
      <c r="F17" s="40"/>
      <c r="H17" s="57" t="s">
        <v>71</v>
      </c>
      <c r="I17" s="59"/>
      <c r="J17" s="58"/>
      <c r="L17" s="37">
        <v>8</v>
      </c>
      <c r="M17" s="37" t="s">
        <v>77</v>
      </c>
      <c r="N17" s="38">
        <v>126345000</v>
      </c>
    </row>
    <row r="18" spans="2:14" ht="29.4" thickBot="1" x14ac:dyDescent="0.35">
      <c r="B18" s="29" t="s">
        <v>39</v>
      </c>
      <c r="C18" s="29" t="s">
        <v>40</v>
      </c>
      <c r="D18" s="29" t="s">
        <v>41</v>
      </c>
      <c r="E18" s="29" t="s">
        <v>42</v>
      </c>
      <c r="F18" s="29" t="s">
        <v>43</v>
      </c>
      <c r="H18" s="37">
        <v>1</v>
      </c>
      <c r="I18" s="37" t="s">
        <v>61</v>
      </c>
      <c r="J18" s="38">
        <v>35000000</v>
      </c>
      <c r="L18" s="37">
        <v>9</v>
      </c>
      <c r="M18" s="37" t="s">
        <v>78</v>
      </c>
      <c r="N18" s="38">
        <v>42115000</v>
      </c>
    </row>
    <row r="19" spans="2:14" ht="43.8" customHeight="1" thickBot="1" x14ac:dyDescent="0.35">
      <c r="B19" s="15" t="s">
        <v>47</v>
      </c>
      <c r="C19" s="10" t="s">
        <v>56</v>
      </c>
      <c r="D19" s="26">
        <v>14000</v>
      </c>
      <c r="E19" s="27">
        <v>2500</v>
      </c>
      <c r="F19" s="28">
        <v>35000000</v>
      </c>
      <c r="H19" s="37">
        <v>2</v>
      </c>
      <c r="I19" s="37" t="s">
        <v>62</v>
      </c>
      <c r="J19" s="38">
        <v>8400000</v>
      </c>
      <c r="L19" s="37">
        <v>10</v>
      </c>
      <c r="M19" s="37" t="s">
        <v>79</v>
      </c>
      <c r="N19" s="38">
        <v>42115000</v>
      </c>
    </row>
    <row r="20" spans="2:14" ht="60.6" customHeight="1" thickBot="1" x14ac:dyDescent="0.35">
      <c r="B20" s="3" t="s">
        <v>48</v>
      </c>
      <c r="C20" s="2" t="s">
        <v>44</v>
      </c>
      <c r="D20" s="2">
        <v>7</v>
      </c>
      <c r="E20" s="22">
        <v>1200000</v>
      </c>
      <c r="F20" s="25">
        <v>8400000</v>
      </c>
      <c r="H20" s="37">
        <v>3</v>
      </c>
      <c r="I20" s="37" t="s">
        <v>63</v>
      </c>
      <c r="J20" s="38">
        <v>63000000</v>
      </c>
      <c r="L20" s="57" t="s">
        <v>67</v>
      </c>
      <c r="M20" s="58"/>
      <c r="N20" s="39">
        <v>210575000</v>
      </c>
    </row>
    <row r="21" spans="2:14" ht="36" customHeight="1" thickBot="1" x14ac:dyDescent="0.35">
      <c r="B21" s="3" t="s">
        <v>49</v>
      </c>
      <c r="C21" s="2" t="s">
        <v>56</v>
      </c>
      <c r="D21" s="21">
        <v>14000</v>
      </c>
      <c r="E21" s="22">
        <v>4500</v>
      </c>
      <c r="F21" s="25">
        <v>63000000</v>
      </c>
      <c r="H21" s="37">
        <v>4</v>
      </c>
      <c r="I21" s="37" t="s">
        <v>64</v>
      </c>
      <c r="J21" s="38">
        <v>378000000</v>
      </c>
    </row>
    <row r="22" spans="2:14" ht="48" customHeight="1" thickBot="1" x14ac:dyDescent="0.35">
      <c r="B22" s="3" t="s">
        <v>50</v>
      </c>
      <c r="C22" s="2" t="s">
        <v>57</v>
      </c>
      <c r="D22" s="21">
        <v>2800</v>
      </c>
      <c r="E22" s="22">
        <v>135000</v>
      </c>
      <c r="F22" s="25">
        <v>378000000</v>
      </c>
      <c r="H22" s="37">
        <v>5</v>
      </c>
      <c r="I22" s="37" t="s">
        <v>65</v>
      </c>
      <c r="J22" s="38">
        <v>14700000</v>
      </c>
      <c r="L22" s="54" t="s">
        <v>68</v>
      </c>
      <c r="M22" s="60"/>
      <c r="N22" s="55"/>
    </row>
    <row r="23" spans="2:14" ht="30.6" customHeight="1" thickBot="1" x14ac:dyDescent="0.35">
      <c r="B23" s="3" t="s">
        <v>51</v>
      </c>
      <c r="C23" s="2" t="s">
        <v>44</v>
      </c>
      <c r="D23" s="2">
        <v>7</v>
      </c>
      <c r="E23" s="22">
        <v>2100000</v>
      </c>
      <c r="F23" s="25">
        <v>14700000</v>
      </c>
      <c r="H23" s="37">
        <v>6</v>
      </c>
      <c r="I23" s="37" t="s">
        <v>66</v>
      </c>
      <c r="J23" s="25">
        <f>332500000*2</f>
        <v>665000000</v>
      </c>
      <c r="L23" s="49">
        <v>11</v>
      </c>
      <c r="M23" s="50" t="s">
        <v>74</v>
      </c>
      <c r="N23" s="51">
        <v>8001850</v>
      </c>
    </row>
    <row r="24" spans="2:14" ht="29.4" thickBot="1" x14ac:dyDescent="0.35">
      <c r="B24" s="3" t="s">
        <v>52</v>
      </c>
      <c r="C24" s="2" t="s">
        <v>45</v>
      </c>
      <c r="D24" s="21">
        <f>3500*2</f>
        <v>7000</v>
      </c>
      <c r="E24" s="22">
        <v>95000</v>
      </c>
      <c r="F24" s="25">
        <f>332500000*2</f>
        <v>665000000</v>
      </c>
      <c r="H24" s="45">
        <v>7</v>
      </c>
      <c r="I24" s="45" t="s">
        <v>69</v>
      </c>
      <c r="J24" s="46"/>
      <c r="L24" s="44"/>
      <c r="M24" s="44"/>
      <c r="N24" s="44"/>
    </row>
    <row r="25" spans="2:14" ht="27.6" customHeight="1" thickBot="1" x14ac:dyDescent="0.35">
      <c r="B25" s="3" t="s">
        <v>53</v>
      </c>
      <c r="C25" s="2" t="s">
        <v>44</v>
      </c>
      <c r="D25" s="2"/>
      <c r="E25" s="22">
        <v>450000</v>
      </c>
      <c r="F25" s="25"/>
      <c r="H25" s="52" t="s">
        <v>72</v>
      </c>
      <c r="I25" s="53"/>
      <c r="J25" s="47">
        <f>SUM(J18:J24)</f>
        <v>1164100000</v>
      </c>
      <c r="L25" s="52" t="s">
        <v>75</v>
      </c>
      <c r="M25" s="56"/>
      <c r="N25" s="48">
        <f>SUM(J25,N20,N23)</f>
        <v>1382676850</v>
      </c>
    </row>
    <row r="26" spans="2:14" ht="27" customHeight="1" thickBot="1" x14ac:dyDescent="0.35">
      <c r="B26" s="30" t="s">
        <v>54</v>
      </c>
      <c r="C26" s="31" t="s">
        <v>44</v>
      </c>
      <c r="D26" s="31"/>
      <c r="E26" s="32">
        <v>1100000</v>
      </c>
      <c r="F26" s="61"/>
      <c r="H26" s="44"/>
      <c r="I26" s="44"/>
      <c r="J26" s="44"/>
    </row>
    <row r="27" spans="2:14" ht="29.4" customHeight="1" thickBot="1" x14ac:dyDescent="0.35">
      <c r="B27" s="7" t="s">
        <v>46</v>
      </c>
      <c r="C27" s="8"/>
      <c r="D27" s="8"/>
      <c r="E27" s="9"/>
      <c r="F27" s="62">
        <f>SUM(F19:F26)</f>
        <v>1164100000</v>
      </c>
      <c r="L27" s="70"/>
    </row>
    <row r="28" spans="2:14" ht="29.4" customHeight="1" thickBot="1" x14ac:dyDescent="0.35">
      <c r="H28" s="34" t="s">
        <v>100</v>
      </c>
      <c r="I28" s="34"/>
      <c r="J28" s="34"/>
      <c r="K28" s="34"/>
      <c r="L28" s="34"/>
      <c r="M28" s="34"/>
    </row>
    <row r="29" spans="2:14" ht="29.4" thickBot="1" x14ac:dyDescent="0.35">
      <c r="B29" s="33" t="s">
        <v>81</v>
      </c>
      <c r="C29" s="33"/>
      <c r="D29" s="33"/>
      <c r="E29" s="33"/>
      <c r="F29" s="33"/>
      <c r="H29" s="73" t="s">
        <v>96</v>
      </c>
      <c r="I29" s="74" t="s">
        <v>85</v>
      </c>
      <c r="J29" s="78" t="s">
        <v>86</v>
      </c>
      <c r="K29" s="77" t="s">
        <v>88</v>
      </c>
      <c r="L29" s="75" t="s">
        <v>87</v>
      </c>
      <c r="M29" s="76" t="s">
        <v>89</v>
      </c>
    </row>
    <row r="30" spans="2:14" ht="15" thickBot="1" x14ac:dyDescent="0.35">
      <c r="B30" s="33"/>
      <c r="C30" s="33"/>
      <c r="D30" s="33"/>
      <c r="E30" s="33"/>
      <c r="F30" s="33"/>
      <c r="H30" s="74" t="s">
        <v>90</v>
      </c>
      <c r="I30" s="79"/>
      <c r="J30" s="85"/>
      <c r="K30" s="87"/>
      <c r="L30" s="94"/>
      <c r="M30" s="89"/>
    </row>
    <row r="31" spans="2:14" ht="15" thickBot="1" x14ac:dyDescent="0.35">
      <c r="B31" s="33"/>
      <c r="C31" s="33"/>
      <c r="D31" s="33"/>
      <c r="E31" s="33"/>
      <c r="F31" s="33"/>
      <c r="G31" s="43"/>
      <c r="H31" s="78" t="s">
        <v>91</v>
      </c>
      <c r="I31" s="84" t="s">
        <v>99</v>
      </c>
      <c r="J31" s="71"/>
      <c r="K31" s="93"/>
      <c r="L31" s="80"/>
      <c r="M31" s="99"/>
    </row>
    <row r="32" spans="2:14" ht="15" thickBot="1" x14ac:dyDescent="0.35">
      <c r="B32" s="1"/>
      <c r="G32" s="43"/>
      <c r="H32" s="77" t="s">
        <v>92</v>
      </c>
      <c r="I32" s="86"/>
      <c r="J32" s="93" t="s">
        <v>98</v>
      </c>
      <c r="K32" s="80" t="s">
        <v>95</v>
      </c>
      <c r="L32" s="98"/>
      <c r="M32" s="91"/>
    </row>
    <row r="33" spans="2:13" ht="15" thickBot="1" x14ac:dyDescent="0.35">
      <c r="B33" s="33" t="s">
        <v>82</v>
      </c>
      <c r="C33" s="33"/>
      <c r="D33" s="33"/>
      <c r="E33" s="33"/>
      <c r="F33" s="33"/>
      <c r="G33" s="43"/>
      <c r="H33" s="75" t="s">
        <v>93</v>
      </c>
      <c r="I33" s="92"/>
      <c r="J33" s="72" t="s">
        <v>80</v>
      </c>
      <c r="K33" s="97"/>
      <c r="L33" s="81" t="s">
        <v>97</v>
      </c>
      <c r="M33" s="83"/>
    </row>
    <row r="34" spans="2:13" ht="15" thickBot="1" x14ac:dyDescent="0.35">
      <c r="B34" s="33"/>
      <c r="C34" s="33"/>
      <c r="D34" s="33"/>
      <c r="E34" s="33"/>
      <c r="F34" s="33"/>
      <c r="H34" s="76" t="s">
        <v>94</v>
      </c>
      <c r="I34" s="88"/>
      <c r="J34" s="96"/>
      <c r="K34" s="90"/>
      <c r="L34" s="95"/>
      <c r="M34" s="82"/>
    </row>
    <row r="35" spans="2:13" x14ac:dyDescent="0.3">
      <c r="B35" s="33"/>
      <c r="C35" s="33"/>
      <c r="D35" s="33"/>
      <c r="E35" s="33"/>
      <c r="F35" s="33"/>
    </row>
    <row r="37" spans="2:13" x14ac:dyDescent="0.3">
      <c r="B37" s="63" t="s">
        <v>83</v>
      </c>
      <c r="C37" s="63"/>
      <c r="D37" s="63"/>
      <c r="E37" s="63"/>
      <c r="F37" s="63"/>
    </row>
    <row r="38" spans="2:13" ht="27" customHeight="1" x14ac:dyDescent="0.3">
      <c r="B38" s="63"/>
      <c r="C38" s="63"/>
      <c r="D38" s="63"/>
      <c r="E38" s="63"/>
      <c r="F38" s="63"/>
    </row>
    <row r="39" spans="2:13" ht="15" thickBot="1" x14ac:dyDescent="0.35"/>
    <row r="40" spans="2:13" x14ac:dyDescent="0.3">
      <c r="B40" s="64" t="s">
        <v>84</v>
      </c>
      <c r="C40" s="65"/>
      <c r="D40" s="65"/>
      <c r="E40" s="65"/>
      <c r="F40" s="66"/>
    </row>
    <row r="41" spans="2:13" ht="15" thickBot="1" x14ac:dyDescent="0.35">
      <c r="B41" s="67"/>
      <c r="C41" s="68"/>
      <c r="D41" s="68"/>
      <c r="E41" s="68"/>
      <c r="F41" s="69"/>
    </row>
  </sheetData>
  <mergeCells count="29">
    <mergeCell ref="H28:M28"/>
    <mergeCell ref="B29:F31"/>
    <mergeCell ref="B33:F35"/>
    <mergeCell ref="B37:F38"/>
    <mergeCell ref="B40:F41"/>
    <mergeCell ref="B27:E27"/>
    <mergeCell ref="B1:E1"/>
    <mergeCell ref="H1:I1"/>
    <mergeCell ref="B17:F17"/>
    <mergeCell ref="H15:N15"/>
    <mergeCell ref="H25:I25"/>
    <mergeCell ref="L25:M25"/>
    <mergeCell ref="L20:M20"/>
    <mergeCell ref="H17:J17"/>
    <mergeCell ref="L16:N16"/>
    <mergeCell ref="L22:N22"/>
    <mergeCell ref="C15:E15"/>
    <mergeCell ref="B8:E8"/>
    <mergeCell ref="C3:E3"/>
    <mergeCell ref="C4:E4"/>
    <mergeCell ref="C5:E5"/>
    <mergeCell ref="C6:E6"/>
    <mergeCell ref="C9:E9"/>
    <mergeCell ref="C10:E10"/>
    <mergeCell ref="B2:E2"/>
    <mergeCell ref="C11:E11"/>
    <mergeCell ref="C12:E12"/>
    <mergeCell ref="C13:E13"/>
    <mergeCell ref="C14:E14"/>
  </mergeCells>
  <pageMargins left="0.7" right="0.7" top="0.75" bottom="0.75" header="0.3" footer="0.3"/>
  <pageSetup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aplicado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2026-04-07T01:21:00Z</dcterms:created>
  <dcterms:modified xsi:type="dcterms:W3CDTF">2026-04-07T03:56:21Z</dcterms:modified>
</cp:coreProperties>
</file>